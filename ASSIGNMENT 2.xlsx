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k\data analytics\assignments\"/>
    </mc:Choice>
  </mc:AlternateContent>
  <xr:revisionPtr revIDLastSave="0" documentId="13_ncr:1_{F2F8C4CD-A541-433C-AD99-52BD7A2B444C}" xr6:coauthVersionLast="47" xr6:coauthVersionMax="47" xr10:uidLastSave="{00000000-0000-0000-0000-000000000000}"/>
  <bookViews>
    <workbookView xWindow="-120" yWindow="-120" windowWidth="20640" windowHeight="11040" xr2:uid="{E99F68D9-B6CF-47E5-AFE8-BC700410956B}"/>
  </bookViews>
  <sheets>
    <sheet name="ASSIGNMENT 2" sheetId="1" r:id="rId1"/>
    <sheet name="questions" sheetId="2" r:id="rId2"/>
  </sheets>
  <definedNames>
    <definedName name="_xlnm._FilterDatabase" localSheetId="0" hidden="1">'ASSIGNMENT 2'!$A$1:$K$35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K8" i="1" s="1"/>
  <c r="B9" i="1"/>
  <c r="B10" i="1"/>
  <c r="B11" i="1"/>
  <c r="B12" i="1"/>
  <c r="K12" i="1" s="1"/>
  <c r="B13" i="1"/>
  <c r="K13" i="1" s="1"/>
  <c r="B14" i="1"/>
  <c r="B15" i="1"/>
  <c r="B16" i="1"/>
  <c r="B17" i="1"/>
  <c r="K17" i="1" s="1"/>
  <c r="B18" i="1"/>
  <c r="B19" i="1"/>
  <c r="B20" i="1"/>
  <c r="B21" i="1"/>
  <c r="K21" i="1" s="1"/>
  <c r="B22" i="1"/>
  <c r="B23" i="1"/>
  <c r="B24" i="1"/>
  <c r="B25" i="1"/>
  <c r="B26" i="1"/>
  <c r="B27" i="1"/>
  <c r="B28" i="1"/>
  <c r="K28" i="1" s="1"/>
  <c r="B29" i="1"/>
  <c r="K29" i="1" s="1"/>
  <c r="B30" i="1"/>
  <c r="B31" i="1"/>
  <c r="B32" i="1"/>
  <c r="K32" i="1" s="1"/>
  <c r="B33" i="1"/>
  <c r="K33" i="1" s="1"/>
  <c r="B34" i="1"/>
  <c r="B35" i="1"/>
  <c r="K3" i="1"/>
  <c r="K5" i="1"/>
  <c r="K6" i="1"/>
  <c r="K10" i="1"/>
  <c r="K11" i="1"/>
  <c r="K14" i="1"/>
  <c r="K18" i="1"/>
  <c r="K19" i="1"/>
  <c r="K22" i="1"/>
  <c r="K25" i="1"/>
  <c r="K26" i="1"/>
  <c r="K27" i="1"/>
  <c r="K30" i="1"/>
  <c r="K31" i="1"/>
  <c r="K3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K4" i="1"/>
  <c r="K7" i="1"/>
  <c r="K15" i="1"/>
  <c r="K23" i="1"/>
  <c r="K24" i="1"/>
  <c r="K16" i="1"/>
  <c r="K20" i="1"/>
  <c r="J34" i="1"/>
  <c r="J35" i="1"/>
  <c r="K35" i="1"/>
  <c r="K9" i="1"/>
  <c r="T8" i="1"/>
  <c r="T6" i="1"/>
  <c r="T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" i="1" l="1"/>
</calcChain>
</file>

<file path=xl/sharedStrings.xml><?xml version="1.0" encoding="utf-8"?>
<sst xmlns="http://schemas.openxmlformats.org/spreadsheetml/2006/main" count="175" uniqueCount="137">
  <si>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</si>
  <si>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</si>
  <si>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</si>
  <si>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</si>
  <si>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</si>
  <si>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</si>
  <si>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</si>
  <si>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</si>
  <si>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</si>
  <si>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</si>
  <si>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</si>
  <si>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</si>
  <si>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</si>
  <si>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</si>
  <si>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</si>
  <si>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</si>
  <si>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</si>
  <si>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a.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</si>
  <si>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</si>
  <si>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</si>
  <si>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</si>
  <si>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</si>
  <si>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</si>
  <si>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</si>
  <si>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</si>
  <si>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</si>
  <si>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</si>
  <si>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</si>
  <si>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</si>
  <si>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</si>
  <si>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</si>
  <si>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</si>
  <si>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</si>
  <si>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</si>
  <si>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</si>
  <si>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</si>
  <si>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</si>
  <si>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</si>
  <si>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</si>
  <si>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</si>
  <si>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</si>
  <si>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</si>
  <si>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</si>
  <si>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</si>
  <si>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</si>
  <si>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</si>
  <si>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</si>
  <si>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</si>
  <si>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</si>
  <si>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</si>
  <si>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</si>
  <si>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</si>
  <si>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</si>
  <si>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</si>
  <si>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</si>
  <si>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</si>
  <si>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</si>
  <si>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</si>
  <si>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</si>
  <si>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</si>
  <si>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</si>
  <si>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</si>
  <si>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</si>
  <si>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</si>
  <si>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</si>
  <si>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</si>
  <si>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</si>
  <si>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</si>
  <si>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</si>
  <si>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</si>
  <si>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</si>
  <si>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</si>
  <si>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</si>
  <si>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</si>
  <si>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</si>
  <si>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</si>
  <si>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</si>
  <si>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</si>
  <si>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</si>
  <si>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</si>
  <si>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</si>
  <si>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</si>
  <si>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</si>
  <si>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</si>
  <si>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</si>
  <si>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</si>
  <si>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</si>
  <si>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</si>
  <si>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</si>
  <si>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</si>
  <si>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</si>
  <si>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</si>
  <si>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</si>
  <si>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</si>
  <si>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</si>
  <si>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</si>
  <si>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</si>
  <si>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</si>
  <si>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</si>
  <si>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</si>
  <si>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Using find and select I find out the blank cells in price list</t>
  </si>
  <si>
    <r>
      <t xml:space="preserve">to fill the blank price cell I used </t>
    </r>
    <r>
      <rPr>
        <sz val="11"/>
        <color rgb="FFFF0000"/>
        <rFont val="Calibri"/>
        <family val="2"/>
        <scheme val="minor"/>
      </rPr>
      <t>average if</t>
    </r>
    <r>
      <rPr>
        <sz val="11"/>
        <color theme="1"/>
        <rFont val="Calibri"/>
        <family val="2"/>
        <scheme val="minor"/>
      </rPr>
      <t xml:space="preserve"> for perticular category </t>
    </r>
  </si>
  <si>
    <t>average of electronics</t>
  </si>
  <si>
    <t>average of outdoor</t>
  </si>
  <si>
    <t>average of fashion</t>
  </si>
  <si>
    <t>b</t>
  </si>
  <si>
    <t>to add missing category I check the data add category  of similar products category</t>
  </si>
  <si>
    <t>a</t>
  </si>
  <si>
    <r>
      <t>using basic filter I found that in category there are</t>
    </r>
    <r>
      <rPr>
        <sz val="11"/>
        <color rgb="FFFF0000"/>
        <rFont val="Calibri"/>
        <family val="2"/>
        <scheme val="minor"/>
      </rPr>
      <t xml:space="preserve"> Electronics </t>
    </r>
    <r>
      <rPr>
        <sz val="11"/>
        <color rgb="FF000000"/>
        <rFont val="Calibri"/>
        <family val="2"/>
        <scheme val="minor"/>
      </rPr>
      <t>and</t>
    </r>
    <r>
      <rPr>
        <sz val="11"/>
        <color rgb="FFFF0000"/>
        <rFont val="Calibri"/>
        <family val="2"/>
        <scheme val="minor"/>
      </rPr>
      <t xml:space="preserve"> Electroni</t>
    </r>
  </si>
  <si>
    <t>c</t>
  </si>
  <si>
    <r>
      <t xml:space="preserve">using find and replace </t>
    </r>
    <r>
      <rPr>
        <sz val="11"/>
        <color rgb="FFFF0000"/>
        <rFont val="Calibri"/>
        <family val="2"/>
        <scheme val="minor"/>
      </rPr>
      <t>Electroni</t>
    </r>
    <r>
      <rPr>
        <sz val="11"/>
        <color rgb="FF000000"/>
        <rFont val="Calibri"/>
        <family val="2"/>
        <scheme val="minor"/>
      </rPr>
      <t xml:space="preserve"> replaced with</t>
    </r>
    <r>
      <rPr>
        <sz val="11"/>
        <color rgb="FFFF0000"/>
        <rFont val="Calibri"/>
        <family val="2"/>
        <scheme val="minor"/>
      </rPr>
      <t xml:space="preserve"> Electronics</t>
    </r>
  </si>
  <si>
    <t>date format(dd-mm-yyyy)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</si>
  <si>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</si>
  <si>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</si>
  <si>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</si>
  <si>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</si>
  <si>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</si>
  <si>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</si>
  <si>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</si>
  <si>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</si>
  <si>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</si>
  <si>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</si>
  <si>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</si>
  <si>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</si>
  <si>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</si>
  <si>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</si>
  <si>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</si>
  <si>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</si>
  <si>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</si>
  <si>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</si>
  <si>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</si>
  <si>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using concat add to text from brand name and product name</t>
  </si>
  <si>
    <t xml:space="preserve"> </t>
  </si>
  <si>
    <r>
      <t xml:space="preserve">take the date from manufacturing date add year and use </t>
    </r>
    <r>
      <rPr>
        <sz val="11"/>
        <color rgb="FFFF0000"/>
        <rFont val="Calibri"/>
        <family val="2"/>
        <scheme val="minor"/>
      </rPr>
      <t>flashfill</t>
    </r>
    <r>
      <rPr>
        <sz val="11"/>
        <color theme="1"/>
        <rFont val="Calibri"/>
        <family val="2"/>
        <scheme val="minor"/>
      </rPr>
      <t xml:space="preserve"> for date formatting</t>
    </r>
  </si>
  <si>
    <r>
      <t xml:space="preserve">foud inconsistant data like stating with small letters to fix this  use </t>
    </r>
    <r>
      <rPr>
        <sz val="11"/>
        <color rgb="FFFF0000"/>
        <rFont val="Calibri"/>
        <family val="2"/>
        <scheme val="minor"/>
      </rPr>
      <t>proper function</t>
    </r>
  </si>
  <si>
    <r>
      <t>using</t>
    </r>
    <r>
      <rPr>
        <sz val="11"/>
        <color rgb="FFC00000"/>
        <rFont val="Calibri"/>
        <family val="2"/>
        <scheme val="minor"/>
      </rPr>
      <t xml:space="preserve"> left function</t>
    </r>
    <r>
      <rPr>
        <sz val="11"/>
        <color rgb="FF000000"/>
        <rFont val="Calibri"/>
        <family val="2"/>
        <scheme val="minor"/>
      </rPr>
      <t xml:space="preserve"> and </t>
    </r>
    <r>
      <rPr>
        <sz val="11"/>
        <color rgb="FFC00000"/>
        <rFont val="Calibri"/>
        <family val="2"/>
        <scheme val="minor"/>
      </rPr>
      <t>right functon</t>
    </r>
    <r>
      <rPr>
        <sz val="11"/>
        <color rgb="FF000000"/>
        <rFont val="Calibri"/>
        <family val="2"/>
        <scheme val="minor"/>
      </rPr>
      <t xml:space="preserve"> seperated the  manufacturing date and country code</t>
    </r>
  </si>
  <si>
    <t>Product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</si>
</sst>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  <numFmt numFmtId="165" formatCode="[$$-C09]#,##0.00"/>
    <numFmt numFmtId="166" formatCode="[$-F800]dddd\,\ mmmm\ dd\,\ yyyy"/>
    <numFmt numFmtId="167" formatCode="[$$-409]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  <xf numFmtId="2" fontId="0" fillId="0" borderId="0" xfId="0" applyNumberFormat="1"/>
    <xf numFmtId="2" fontId="0" fillId="4" borderId="0" xfId="0" applyNumberFormat="1" applyFill="1"/>
    <xf numFmtId="0" fontId="0" fillId="5" borderId="0" xfId="0" applyFill="1" applyAlignment="1">
      <alignment horizontal="left" vertical="top"/>
    </xf>
    <xf numFmtId="0" fontId="0" fillId="6" borderId="0" xfId="0" applyFill="1"/>
    <xf numFmtId="0" fontId="8" fillId="6" borderId="0" xfId="0" applyFont="1" applyFill="1"/>
    <xf numFmtId="0" fontId="4" fillId="6" borderId="0" xfId="0" applyFont="1" applyFill="1"/>
    <xf numFmtId="0" fontId="8" fillId="5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5" fillId="0" borderId="0" xfId="1" applyNumberFormat="1" applyFont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5" fontId="5" fillId="0" borderId="0" xfId="2" applyNumberFormat="1" applyFont="1" applyAlignment="1">
      <alignment horizontal="center"/>
    </xf>
    <xf numFmtId="165" fontId="5" fillId="3" borderId="0" xfId="2" applyNumberFormat="1" applyFont="1" applyFill="1" applyAlignment="1">
      <alignment horizontal="center"/>
    </xf>
    <xf numFmtId="165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5" fillId="0" borderId="0" xfId="2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7" borderId="0" xfId="0" applyFill="1"/>
    <xf numFmtId="0" fontId="9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10" fillId="7" borderId="0" xfId="0" applyFont="1" applyFill="1"/>
    <xf numFmtId="0" fontId="5" fillId="7" borderId="0" xfId="0" applyFont="1" applyFill="1"/>
    <xf numFmtId="0" fontId="8" fillId="5" borderId="0" xfId="0" applyFont="1" applyFill="1"/>
    <xf numFmtId="0" fontId="8" fillId="8" borderId="0" xfId="0" applyFont="1" applyFill="1"/>
    <xf numFmtId="0" fontId="4" fillId="8" borderId="0" xfId="0" applyFont="1" applyFill="1"/>
    <xf numFmtId="0" fontId="0" fillId="8" borderId="0" xfId="0" applyFill="1"/>
    <xf numFmtId="0" fontId="0" fillId="5" borderId="0" xfId="0" applyFill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54C86-A296-47B5-824F-FC19C8F26692}" name="Table1" displayName="Table1" ref="A1:K35" totalsRowShown="0" headerRowDxfId="11">
  <autoFilter ref="A1:K35" xr:uid="{57836532-5278-42BC-9E6B-DFBDF0DD4D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992DFC8-6D18-400F-86E3-0B2F3F4B9421}" name="Product ID"/>
    <tableColumn id="2" xr3:uid="{42087F81-D9B6-4A32-8C2D-9DCA8283B287}" name="Product Name" dataDxfId="10">
      <calculatedColumnFormula>PROPER(TRIM(C2))</calculatedColumnFormula>
    </tableColumn>
    <tableColumn id="3" xr3:uid="{D9BFFB75-DF47-43E5-BEB9-CE6EF92E85B1}" name="Product Name2"/>
    <tableColumn id="4" xr3:uid="{9E015C19-5709-4F66-A6BF-244CF77F86B8}" name="Brand Name" dataDxfId="9"/>
    <tableColumn id="5" xr3:uid="{30C7D09C-F976-4DF2-87F9-B226BED5C37F}" name="Price ($)" dataDxfId="8"/>
    <tableColumn id="6" xr3:uid="{A337B41D-42CA-4558-B5C9-153265A76EE7}" name="Quantity" dataDxfId="7"/>
    <tableColumn id="7" xr3:uid="{D159B5F8-61C9-441B-B374-4F65D9618618}" name="Category"/>
    <tableColumn id="8" xr3:uid="{30694DC4-F3EE-4E45-AF78-D788B6885F4C}" name="Manufacturing date" dataDxfId="6"/>
    <tableColumn id="9" xr3:uid="{22EF23F3-98ED-47A7-9A8D-0452E7FD3AD6}" name="date format(dd-mm-yyyy)" dataDxfId="5"/>
    <tableColumn id="10" xr3:uid="{CB36BF33-C710-4EB4-AFC8-3D539E0FEAF0}" name="Country Code" dataDxfId="4">
      <calculatedColumnFormula>RIGHT(A2,2)</calculatedColumnFormula>
    </tableColumn>
    <tableColumn id="11" xr3:uid="{911D8248-0813-4421-8A40-FBE3EEFAEBCF}" name="Product Brand" dataDxfId="3">
      <calculatedColumnFormula>_xlfn.CONCAT(D2," ",B2)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6532-5278-42BC-9E6B-DFBDF0DD4D90}">
  <dimension ref="A1:T35"/>
  <sheetViews>
    <sheetView tabSelected="1" workbookViewId="0">
      <selection activeCell="D6" sqref="D6"/>
    </sheetView>
  </sheetViews>
  <sheetFormatPr defaultRowHeight="15" x14ac:dyDescent="0.25"/>
  <cols>
    <col min="1" max="1" width="12.5703125" customWidth="1"/>
    <col min="2" max="2" width="14" bestFit="1" customWidth="1"/>
    <col min="3" max="3" width="17" hidden="1" customWidth="1"/>
    <col min="4" max="4" width="12.28515625" style="46" bestFit="1" customWidth="1"/>
    <col min="5" max="5" width="13" style="23" bestFit="1" customWidth="1"/>
    <col min="6" max="6" width="8.5703125" style="42" bestFit="1" customWidth="1"/>
    <col min="7" max="7" width="13.7109375" bestFit="1" customWidth="1"/>
    <col min="8" max="8" width="18.85546875" style="25" bestFit="1" customWidth="1"/>
    <col min="9" max="9" width="23.85546875" style="25" bestFit="1" customWidth="1"/>
    <col min="10" max="10" width="13.42578125" style="17" bestFit="1" customWidth="1"/>
    <col min="11" max="11" width="21.7109375" bestFit="1" customWidth="1"/>
    <col min="20" max="20" width="20.7109375" style="9" bestFit="1" customWidth="1"/>
  </cols>
  <sheetData>
    <row r="1" spans="1:20" x14ac:dyDescent="0.25">
      <c r="A1" s="1" t="s">
        <v>0</v>
      </c>
      <c r="B1" s="1" t="s">
        <v>1</v>
      </c>
      <c r="C1" s="1" t="s">
        <v>136</v>
      </c>
      <c r="D1" s="27" t="s">
        <v>2</v>
      </c>
      <c r="E1" s="19" t="s">
        <v>3</v>
      </c>
      <c r="F1" s="43" t="s">
        <v>4</v>
      </c>
      <c r="G1" s="1" t="s">
        <v>5</v>
      </c>
      <c r="H1" s="24" t="s">
        <v>6</v>
      </c>
      <c r="I1" s="27" t="s">
        <v>111</v>
      </c>
      <c r="J1" s="1" t="s">
        <v>7</v>
      </c>
      <c r="K1" s="1" t="s">
        <v>8</v>
      </c>
    </row>
    <row r="2" spans="1:20" x14ac:dyDescent="0.25">
      <c r="A2" s="2" t="s">
        <v>9</v>
      </c>
      <c r="B2" s="2" t="str">
        <f t="shared" ref="B2:B35" si="0">PROPER(TRIM(C2))</f>
        <v>Laptop</v>
      </c>
      <c r="C2" s="2" t="s">
        <v>10</v>
      </c>
      <c r="D2" s="44" t="s">
        <v>11</v>
      </c>
      <c r="E2" s="20">
        <v>1000</v>
      </c>
      <c r="F2" s="40">
        <v>30</v>
      </c>
      <c r="G2" s="2" t="s">
        <v>12</v>
      </c>
      <c r="H2" s="18" t="str">
        <f t="shared" ref="H2:H32" si="1">LEFT(A2,6)</f>
        <v>28-JAN</v>
      </c>
      <c r="I2" s="28">
        <v>46050</v>
      </c>
      <c r="J2" s="16" t="str">
        <f t="shared" ref="J2:J35" si="2">RIGHT(A2,2)</f>
        <v>US</v>
      </c>
      <c r="K2" s="2" t="str">
        <f t="shared" ref="K2:K35" si="3">_xlfn.CONCAT(D2," ",B2)</f>
        <v>Dell Laptop</v>
      </c>
      <c r="M2" s="11">
        <v>1</v>
      </c>
    </row>
    <row r="3" spans="1:20" ht="15.75" x14ac:dyDescent="0.25">
      <c r="A3" s="3" t="s">
        <v>13</v>
      </c>
      <c r="B3" s="2" t="str">
        <f t="shared" si="0"/>
        <v>Sneakers</v>
      </c>
      <c r="C3" s="3" t="s">
        <v>14</v>
      </c>
      <c r="D3" s="45" t="s">
        <v>15</v>
      </c>
      <c r="E3" s="21">
        <v>80</v>
      </c>
      <c r="F3" s="41">
        <v>15</v>
      </c>
      <c r="G3" s="3" t="s">
        <v>16</v>
      </c>
      <c r="H3" s="18" t="str">
        <f t="shared" si="1"/>
        <v>15-FEB</v>
      </c>
      <c r="I3" s="28">
        <v>46068</v>
      </c>
      <c r="J3" s="16" t="str">
        <f t="shared" si="2"/>
        <v>US</v>
      </c>
      <c r="K3" s="2" t="str">
        <f t="shared" si="3"/>
        <v>Nike Sneakers</v>
      </c>
      <c r="M3" s="12" t="s">
        <v>17</v>
      </c>
      <c r="N3" s="4"/>
      <c r="O3" s="2"/>
      <c r="P3" s="2"/>
      <c r="Q3" s="2"/>
      <c r="R3" s="2"/>
      <c r="T3" s="9" t="s">
        <v>102</v>
      </c>
    </row>
    <row r="4" spans="1:20" ht="15.75" x14ac:dyDescent="0.25">
      <c r="A4" s="2" t="s">
        <v>18</v>
      </c>
      <c r="B4" s="2" t="str">
        <f t="shared" si="0"/>
        <v>Coffee Maker</v>
      </c>
      <c r="C4" s="2" t="s">
        <v>19</v>
      </c>
      <c r="D4" s="44" t="s">
        <v>20</v>
      </c>
      <c r="E4" s="20">
        <v>130</v>
      </c>
      <c r="F4" s="40">
        <v>40</v>
      </c>
      <c r="G4" s="2" t="s">
        <v>21</v>
      </c>
      <c r="H4" s="18" t="str">
        <f t="shared" si="1"/>
        <v>03-MAR</v>
      </c>
      <c r="I4" s="28">
        <v>46084</v>
      </c>
      <c r="J4" s="16" t="str">
        <f t="shared" si="2"/>
        <v>US</v>
      </c>
      <c r="K4" s="2" t="str">
        <f t="shared" si="3"/>
        <v>Keurig Coffee Maker</v>
      </c>
      <c r="M4" t="s">
        <v>100</v>
      </c>
      <c r="N4" s="2"/>
      <c r="O4" s="5"/>
      <c r="P4" s="2"/>
      <c r="Q4" s="2"/>
      <c r="R4" s="2"/>
      <c r="T4" s="10">
        <f>AVERAGEIF(G2:G32,G2,E2:E32)</f>
        <v>555.83307692307687</v>
      </c>
    </row>
    <row r="5" spans="1:20" ht="15.75" x14ac:dyDescent="0.25">
      <c r="A5" s="3" t="s">
        <v>22</v>
      </c>
      <c r="B5" s="2" t="str">
        <f t="shared" si="0"/>
        <v>Smartphone</v>
      </c>
      <c r="C5" s="3" t="s">
        <v>23</v>
      </c>
      <c r="D5" s="45" t="s">
        <v>24</v>
      </c>
      <c r="E5" s="21">
        <v>900</v>
      </c>
      <c r="F5" s="41">
        <v>25</v>
      </c>
      <c r="G5" s="3" t="s">
        <v>12</v>
      </c>
      <c r="H5" s="18" t="str">
        <f t="shared" si="1"/>
        <v>11-APR</v>
      </c>
      <c r="I5" s="28">
        <v>46123</v>
      </c>
      <c r="J5" s="16" t="str">
        <f t="shared" si="2"/>
        <v>US</v>
      </c>
      <c r="K5" s="2" t="str">
        <f t="shared" si="3"/>
        <v>Samsung Smartphone</v>
      </c>
      <c r="M5" s="8"/>
      <c r="N5" s="2"/>
      <c r="O5" s="5"/>
      <c r="P5" s="2"/>
      <c r="Q5" s="2"/>
      <c r="R5" s="2"/>
      <c r="T5" s="9" t="s">
        <v>103</v>
      </c>
    </row>
    <row r="6" spans="1:20" x14ac:dyDescent="0.25">
      <c r="A6" s="2" t="s">
        <v>25</v>
      </c>
      <c r="B6" s="2" t="str">
        <f t="shared" si="0"/>
        <v>Backpack</v>
      </c>
      <c r="C6" s="2" t="s">
        <v>26</v>
      </c>
      <c r="D6" s="44" t="s">
        <v>27</v>
      </c>
      <c r="E6" s="20">
        <v>70</v>
      </c>
      <c r="F6" s="40">
        <v>20</v>
      </c>
      <c r="G6" s="3" t="s">
        <v>59</v>
      </c>
      <c r="H6" s="18" t="str">
        <f t="shared" si="1"/>
        <v>22-MAY</v>
      </c>
      <c r="I6" s="28">
        <v>46164</v>
      </c>
      <c r="J6" s="16" t="str">
        <f t="shared" si="2"/>
        <v>US</v>
      </c>
      <c r="K6" s="2" t="str">
        <f t="shared" si="3"/>
        <v>North Face Backpack</v>
      </c>
      <c r="M6" t="s">
        <v>101</v>
      </c>
      <c r="T6" s="10">
        <f>AVERAGEIF(G2:G32,"Outdoor",E2:E32)</f>
        <v>130</v>
      </c>
    </row>
    <row r="7" spans="1:20" x14ac:dyDescent="0.25">
      <c r="A7" s="3" t="s">
        <v>28</v>
      </c>
      <c r="B7" s="2" t="str">
        <f t="shared" si="0"/>
        <v>Headphones</v>
      </c>
      <c r="C7" s="3" t="s">
        <v>29</v>
      </c>
      <c r="D7" s="45" t="s">
        <v>30</v>
      </c>
      <c r="E7" s="21">
        <v>555.83000000000004</v>
      </c>
      <c r="F7" s="41">
        <v>45</v>
      </c>
      <c r="G7" s="3" t="s">
        <v>12</v>
      </c>
      <c r="H7" s="18" t="str">
        <f t="shared" si="1"/>
        <v>07-JUN</v>
      </c>
      <c r="I7" s="28">
        <v>46180</v>
      </c>
      <c r="J7" s="16" t="str">
        <f t="shared" si="2"/>
        <v>UK</v>
      </c>
      <c r="K7" s="2" t="str">
        <f t="shared" si="3"/>
        <v>Sony Headphones</v>
      </c>
      <c r="T7" s="9" t="s">
        <v>104</v>
      </c>
    </row>
    <row r="8" spans="1:20" x14ac:dyDescent="0.25">
      <c r="A8" s="2" t="s">
        <v>31</v>
      </c>
      <c r="B8" s="2" t="str">
        <f t="shared" si="0"/>
        <v>T-Shirt</v>
      </c>
      <c r="C8" s="2" t="s">
        <v>32</v>
      </c>
      <c r="D8" s="44" t="s">
        <v>33</v>
      </c>
      <c r="E8" s="20">
        <v>30</v>
      </c>
      <c r="F8" s="40">
        <v>5</v>
      </c>
      <c r="G8" s="2" t="s">
        <v>16</v>
      </c>
      <c r="H8" s="18" t="str">
        <f t="shared" si="1"/>
        <v>19-JUL</v>
      </c>
      <c r="I8" s="28">
        <v>46222</v>
      </c>
      <c r="J8" s="16" t="str">
        <f t="shared" si="2"/>
        <v>UK</v>
      </c>
      <c r="K8" s="2" t="str">
        <f t="shared" si="3"/>
        <v>Adidas T-Shirt</v>
      </c>
      <c r="M8" s="12" t="s">
        <v>105</v>
      </c>
      <c r="T8" s="10">
        <f>AVERAGEIF(G2:G32,G13,E2:E32)</f>
        <v>76.667142857142863</v>
      </c>
    </row>
    <row r="9" spans="1:20" x14ac:dyDescent="0.25">
      <c r="A9" s="3" t="s">
        <v>34</v>
      </c>
      <c r="B9" s="2" t="str">
        <f t="shared" si="0"/>
        <v>Blender</v>
      </c>
      <c r="C9" s="3" t="s">
        <v>35</v>
      </c>
      <c r="D9" s="45" t="s">
        <v>36</v>
      </c>
      <c r="E9" s="21">
        <v>90</v>
      </c>
      <c r="F9" s="41">
        <v>35</v>
      </c>
      <c r="G9" s="3" t="s">
        <v>21</v>
      </c>
      <c r="H9" s="18" t="str">
        <f t="shared" si="1"/>
        <v>23-AUG</v>
      </c>
      <c r="I9" s="28">
        <v>46257</v>
      </c>
      <c r="J9" s="16" t="str">
        <f t="shared" si="2"/>
        <v>UK</v>
      </c>
      <c r="K9" s="2" t="str">
        <f t="shared" si="3"/>
        <v>Ninja Blender</v>
      </c>
      <c r="M9" t="s">
        <v>106</v>
      </c>
    </row>
    <row r="10" spans="1:20" x14ac:dyDescent="0.25">
      <c r="A10" s="2" t="s">
        <v>37</v>
      </c>
      <c r="B10" s="2" t="str">
        <f t="shared" si="0"/>
        <v>Tablet</v>
      </c>
      <c r="C10" s="2" t="s">
        <v>38</v>
      </c>
      <c r="D10" s="44" t="s">
        <v>39</v>
      </c>
      <c r="E10" s="20">
        <v>500</v>
      </c>
      <c r="F10" s="40">
        <v>50</v>
      </c>
      <c r="G10" s="2" t="s">
        <v>12</v>
      </c>
      <c r="H10" s="18" t="str">
        <f t="shared" si="1"/>
        <v>05-SEP</v>
      </c>
      <c r="I10" s="28">
        <v>46270</v>
      </c>
      <c r="J10" s="16" t="str">
        <f t="shared" si="2"/>
        <v>UK</v>
      </c>
      <c r="K10" s="2" t="str">
        <f t="shared" si="3"/>
        <v>Apple Tablet</v>
      </c>
      <c r="M10" s="7"/>
    </row>
    <row r="11" spans="1:20" x14ac:dyDescent="0.25">
      <c r="A11" s="3" t="s">
        <v>40</v>
      </c>
      <c r="B11" s="2" t="str">
        <f t="shared" si="0"/>
        <v>Hiking Boots</v>
      </c>
      <c r="C11" s="3" t="s">
        <v>41</v>
      </c>
      <c r="D11" s="45" t="s">
        <v>42</v>
      </c>
      <c r="E11" s="21">
        <v>130</v>
      </c>
      <c r="F11" s="41">
        <v>10</v>
      </c>
      <c r="G11" s="3" t="s">
        <v>43</v>
      </c>
      <c r="H11" s="18" t="str">
        <f t="shared" si="1"/>
        <v>14-OCT</v>
      </c>
      <c r="I11" s="28">
        <v>46309</v>
      </c>
      <c r="J11" s="16" t="str">
        <f t="shared" si="2"/>
        <v>UK</v>
      </c>
      <c r="K11" s="2" t="str">
        <f t="shared" si="3"/>
        <v>Timberland Hiking Boots</v>
      </c>
      <c r="M11" s="6"/>
    </row>
    <row r="12" spans="1:20" x14ac:dyDescent="0.25">
      <c r="A12" s="2" t="s">
        <v>44</v>
      </c>
      <c r="B12" s="2" t="str">
        <f t="shared" si="0"/>
        <v>Laptop</v>
      </c>
      <c r="C12" s="2" t="s">
        <v>45</v>
      </c>
      <c r="D12" s="44" t="s">
        <v>46</v>
      </c>
      <c r="E12" s="26">
        <v>950</v>
      </c>
      <c r="F12" s="40">
        <v>25</v>
      </c>
      <c r="G12" s="2" t="s">
        <v>12</v>
      </c>
      <c r="H12" s="18" t="str">
        <f t="shared" si="1"/>
        <v>17-JUN</v>
      </c>
      <c r="I12" s="28">
        <v>46190</v>
      </c>
      <c r="J12" s="16" t="str">
        <f t="shared" si="2"/>
        <v>IN</v>
      </c>
      <c r="K12" s="2" t="str">
        <f t="shared" si="3"/>
        <v>HP Laptop</v>
      </c>
      <c r="M12" s="15">
        <v>2</v>
      </c>
    </row>
    <row r="13" spans="1:20" x14ac:dyDescent="0.25">
      <c r="A13" s="3" t="s">
        <v>47</v>
      </c>
      <c r="B13" s="2" t="str">
        <f t="shared" si="0"/>
        <v>Sneakers</v>
      </c>
      <c r="C13" s="3" t="s">
        <v>14</v>
      </c>
      <c r="D13" s="45" t="s">
        <v>33</v>
      </c>
      <c r="E13" s="21">
        <v>90</v>
      </c>
      <c r="F13" s="41">
        <v>40</v>
      </c>
      <c r="G13" s="3" t="s">
        <v>16</v>
      </c>
      <c r="H13" s="18" t="str">
        <f t="shared" si="1"/>
        <v>25-NOV</v>
      </c>
      <c r="I13" s="28">
        <v>46351</v>
      </c>
      <c r="J13" s="16" t="str">
        <f t="shared" si="2"/>
        <v>AU</v>
      </c>
      <c r="K13" s="2" t="str">
        <f t="shared" si="3"/>
        <v>Adidas Sneakers</v>
      </c>
      <c r="M13" s="13" t="s">
        <v>107</v>
      </c>
    </row>
    <row r="14" spans="1:20" x14ac:dyDescent="0.25">
      <c r="A14" s="2" t="s">
        <v>48</v>
      </c>
      <c r="B14" s="2" t="str">
        <f t="shared" si="0"/>
        <v>Coffee Maker</v>
      </c>
      <c r="C14" s="2" t="s">
        <v>19</v>
      </c>
      <c r="D14" s="44" t="s">
        <v>49</v>
      </c>
      <c r="E14" s="20">
        <v>120</v>
      </c>
      <c r="F14" s="40">
        <v>35</v>
      </c>
      <c r="G14" s="3" t="s">
        <v>21</v>
      </c>
      <c r="H14" s="18" t="str">
        <f t="shared" si="1"/>
        <v>08-DEC</v>
      </c>
      <c r="I14" s="28">
        <v>46364</v>
      </c>
      <c r="J14" s="16" t="str">
        <f t="shared" si="2"/>
        <v>DE</v>
      </c>
      <c r="K14" s="2" t="str">
        <f t="shared" si="3"/>
        <v>Nespresso Coffee Maker</v>
      </c>
      <c r="M14" s="8" t="s">
        <v>134</v>
      </c>
    </row>
    <row r="15" spans="1:20" x14ac:dyDescent="0.25">
      <c r="A15" s="3" t="s">
        <v>50</v>
      </c>
      <c r="B15" s="2" t="str">
        <f t="shared" si="0"/>
        <v>Smartwatch</v>
      </c>
      <c r="C15" s="3" t="s">
        <v>51</v>
      </c>
      <c r="D15" s="45" t="s">
        <v>52</v>
      </c>
      <c r="E15" s="21">
        <v>150</v>
      </c>
      <c r="F15" s="41">
        <v>15</v>
      </c>
      <c r="G15" s="3" t="s">
        <v>12</v>
      </c>
      <c r="H15" s="18" t="str">
        <f t="shared" si="1"/>
        <v>18-FEB</v>
      </c>
      <c r="I15" s="28">
        <v>46071</v>
      </c>
      <c r="J15" s="16" t="str">
        <f t="shared" si="2"/>
        <v>CA</v>
      </c>
      <c r="K15" s="2" t="str">
        <f t="shared" si="3"/>
        <v>Fitbit Smartwatch</v>
      </c>
      <c r="M15" s="14" t="s">
        <v>105</v>
      </c>
    </row>
    <row r="16" spans="1:20" x14ac:dyDescent="0.25">
      <c r="A16" s="2" t="s">
        <v>53</v>
      </c>
      <c r="B16" s="2" t="str">
        <f t="shared" si="0"/>
        <v>Headphones</v>
      </c>
      <c r="C16" s="2" t="s">
        <v>54</v>
      </c>
      <c r="D16" s="44" t="s">
        <v>55</v>
      </c>
      <c r="E16" s="20">
        <v>250</v>
      </c>
      <c r="F16" s="40">
        <v>20</v>
      </c>
      <c r="G16" s="2" t="s">
        <v>12</v>
      </c>
      <c r="H16" s="18" t="str">
        <f t="shared" si="1"/>
        <v>16-APR</v>
      </c>
      <c r="I16" s="28">
        <v>46128</v>
      </c>
      <c r="J16" s="16" t="str">
        <f t="shared" si="2"/>
        <v>ES</v>
      </c>
      <c r="K16" s="2" t="str">
        <f t="shared" si="3"/>
        <v>Bose Headphones</v>
      </c>
      <c r="M16" s="8" t="s">
        <v>108</v>
      </c>
    </row>
    <row r="17" spans="1:13" x14ac:dyDescent="0.25">
      <c r="A17" s="3" t="s">
        <v>56</v>
      </c>
      <c r="B17" s="2" t="str">
        <f t="shared" si="0"/>
        <v>Laptop Bag</v>
      </c>
      <c r="C17" s="3" t="s">
        <v>57</v>
      </c>
      <c r="D17" s="45" t="s">
        <v>58</v>
      </c>
      <c r="E17" s="21">
        <v>50</v>
      </c>
      <c r="F17" s="41">
        <v>35</v>
      </c>
      <c r="G17" s="3" t="s">
        <v>59</v>
      </c>
      <c r="H17" s="18" t="str">
        <f t="shared" si="1"/>
        <v>21-AUG</v>
      </c>
      <c r="I17" s="28">
        <v>46255</v>
      </c>
      <c r="J17" s="16" t="str">
        <f t="shared" si="2"/>
        <v>CA</v>
      </c>
      <c r="K17" s="2" t="str">
        <f t="shared" si="3"/>
        <v>Samsonite Laptop Bag</v>
      </c>
      <c r="M17" s="13" t="s">
        <v>109</v>
      </c>
    </row>
    <row r="18" spans="1:13" x14ac:dyDescent="0.25">
      <c r="A18" s="2" t="s">
        <v>60</v>
      </c>
      <c r="B18" s="2" t="str">
        <f t="shared" si="0"/>
        <v>Smartwatch</v>
      </c>
      <c r="C18" s="2" t="s">
        <v>51</v>
      </c>
      <c r="D18" s="44" t="s">
        <v>61</v>
      </c>
      <c r="E18" s="20">
        <v>160</v>
      </c>
      <c r="F18" s="40">
        <v>15</v>
      </c>
      <c r="G18" s="2" t="s">
        <v>12</v>
      </c>
      <c r="H18" s="18" t="str">
        <f t="shared" si="1"/>
        <v>20-AUG</v>
      </c>
      <c r="I18" s="28">
        <v>46254</v>
      </c>
      <c r="J18" s="16" t="str">
        <f t="shared" si="2"/>
        <v>CN</v>
      </c>
      <c r="K18" s="2" t="str">
        <f t="shared" si="3"/>
        <v>Huawei Smartwatch</v>
      </c>
      <c r="M18" s="8" t="s">
        <v>110</v>
      </c>
    </row>
    <row r="19" spans="1:13" x14ac:dyDescent="0.25">
      <c r="A19" s="3" t="s">
        <v>62</v>
      </c>
      <c r="B19" s="2" t="str">
        <f t="shared" si="0"/>
        <v>Laptop</v>
      </c>
      <c r="C19" s="3" t="s">
        <v>10</v>
      </c>
      <c r="D19" s="45" t="s">
        <v>63</v>
      </c>
      <c r="E19" s="21">
        <v>980</v>
      </c>
      <c r="F19" s="41">
        <v>10</v>
      </c>
      <c r="G19" s="3" t="s">
        <v>12</v>
      </c>
      <c r="H19" s="18" t="str">
        <f t="shared" si="1"/>
        <v>27-JAN</v>
      </c>
      <c r="I19" s="28">
        <v>46049</v>
      </c>
      <c r="J19" s="16" t="str">
        <f t="shared" si="2"/>
        <v>IT</v>
      </c>
      <c r="K19" s="2" t="str">
        <f t="shared" si="3"/>
        <v>Asus Laptop</v>
      </c>
    </row>
    <row r="20" spans="1:13" x14ac:dyDescent="0.25">
      <c r="A20" s="2" t="s">
        <v>64</v>
      </c>
      <c r="B20" s="2" t="str">
        <f t="shared" si="0"/>
        <v>Sunglasses</v>
      </c>
      <c r="C20" s="2" t="s">
        <v>65</v>
      </c>
      <c r="D20" s="44" t="s">
        <v>66</v>
      </c>
      <c r="E20" s="20">
        <v>150</v>
      </c>
      <c r="F20" s="40">
        <v>15</v>
      </c>
      <c r="G20" s="2" t="s">
        <v>16</v>
      </c>
      <c r="H20" s="18" t="str">
        <f t="shared" si="1"/>
        <v>01-MAR</v>
      </c>
      <c r="I20" s="28">
        <v>46082</v>
      </c>
      <c r="J20" s="16" t="str">
        <f t="shared" si="2"/>
        <v>UK</v>
      </c>
      <c r="K20" s="2" t="str">
        <f t="shared" si="3"/>
        <v>Oakley Sunglasses</v>
      </c>
      <c r="M20" s="7"/>
    </row>
    <row r="21" spans="1:13" x14ac:dyDescent="0.25">
      <c r="A21" s="3" t="s">
        <v>67</v>
      </c>
      <c r="B21" s="2" t="str">
        <f t="shared" si="0"/>
        <v>Camping Tent</v>
      </c>
      <c r="C21" s="3" t="s">
        <v>68</v>
      </c>
      <c r="D21" s="45" t="s">
        <v>69</v>
      </c>
      <c r="E21" s="21">
        <v>130</v>
      </c>
      <c r="F21" s="41">
        <v>10</v>
      </c>
      <c r="G21" s="3" t="s">
        <v>43</v>
      </c>
      <c r="H21" s="18" t="str">
        <f t="shared" si="1"/>
        <v>14-AUG</v>
      </c>
      <c r="I21" s="28">
        <v>46248</v>
      </c>
      <c r="J21" s="16" t="str">
        <f t="shared" si="2"/>
        <v>US</v>
      </c>
      <c r="K21" s="2" t="str">
        <f t="shared" si="3"/>
        <v>Coleman Camping Tent</v>
      </c>
      <c r="M21" s="35">
        <v>4</v>
      </c>
    </row>
    <row r="22" spans="1:13" x14ac:dyDescent="0.25">
      <c r="A22" s="2" t="s">
        <v>70</v>
      </c>
      <c r="B22" s="2" t="str">
        <f t="shared" si="0"/>
        <v>Camera</v>
      </c>
      <c r="C22" s="2" t="s">
        <v>71</v>
      </c>
      <c r="D22" s="44" t="s">
        <v>72</v>
      </c>
      <c r="E22" s="20">
        <v>700</v>
      </c>
      <c r="F22" s="40">
        <v>50</v>
      </c>
      <c r="G22" s="2" t="s">
        <v>12</v>
      </c>
      <c r="H22" s="18" t="str">
        <f t="shared" si="1"/>
        <v>14-MAY</v>
      </c>
      <c r="I22" s="28">
        <v>46156</v>
      </c>
      <c r="J22" s="16" t="str">
        <f t="shared" si="2"/>
        <v>RU</v>
      </c>
      <c r="K22" s="2" t="str">
        <f t="shared" si="3"/>
        <v>Nikon Camera</v>
      </c>
      <c r="M22" s="36" t="s">
        <v>107</v>
      </c>
    </row>
    <row r="23" spans="1:13" x14ac:dyDescent="0.25">
      <c r="A23" s="3" t="s">
        <v>73</v>
      </c>
      <c r="B23" s="2" t="str">
        <f t="shared" si="0"/>
        <v>Microwave</v>
      </c>
      <c r="C23" s="3" t="s">
        <v>74</v>
      </c>
      <c r="D23" s="45" t="s">
        <v>75</v>
      </c>
      <c r="E23" s="21">
        <v>80</v>
      </c>
      <c r="F23" s="41">
        <v>20</v>
      </c>
      <c r="G23" s="3" t="s">
        <v>21</v>
      </c>
      <c r="H23" s="18" t="str">
        <f t="shared" si="1"/>
        <v>09-JAN</v>
      </c>
      <c r="I23" s="28">
        <v>46031</v>
      </c>
      <c r="J23" s="16" t="str">
        <f t="shared" si="2"/>
        <v>CA</v>
      </c>
      <c r="K23" s="2" t="str">
        <f t="shared" si="3"/>
        <v>Panasonic Microwave</v>
      </c>
      <c r="M23" s="8" t="s">
        <v>135</v>
      </c>
    </row>
    <row r="24" spans="1:13" x14ac:dyDescent="0.25">
      <c r="A24" s="2" t="s">
        <v>76</v>
      </c>
      <c r="B24" s="2" t="str">
        <f t="shared" si="0"/>
        <v>Fitness Tracker</v>
      </c>
      <c r="C24" s="2" t="s">
        <v>77</v>
      </c>
      <c r="D24" s="44" t="s">
        <v>78</v>
      </c>
      <c r="E24" s="20">
        <v>150</v>
      </c>
      <c r="F24" s="40">
        <v>30</v>
      </c>
      <c r="G24" s="2" t="s">
        <v>12</v>
      </c>
      <c r="H24" s="18" t="str">
        <f t="shared" si="1"/>
        <v>19-JUL</v>
      </c>
      <c r="I24" s="28">
        <v>46222</v>
      </c>
      <c r="J24" s="16" t="str">
        <f t="shared" si="2"/>
        <v>BR</v>
      </c>
      <c r="K24" s="2" t="str">
        <f t="shared" si="3"/>
        <v>Xiaomi Fitness Tracker</v>
      </c>
      <c r="M24" s="37" t="s">
        <v>105</v>
      </c>
    </row>
    <row r="25" spans="1:13" x14ac:dyDescent="0.25">
      <c r="A25" s="2" t="s">
        <v>79</v>
      </c>
      <c r="B25" s="2" t="str">
        <f t="shared" si="0"/>
        <v>Smartphone</v>
      </c>
      <c r="C25" s="2" t="s">
        <v>80</v>
      </c>
      <c r="D25" s="44" t="s">
        <v>81</v>
      </c>
      <c r="E25" s="20">
        <v>800</v>
      </c>
      <c r="F25" s="40">
        <v>45</v>
      </c>
      <c r="G25" s="2" t="s">
        <v>12</v>
      </c>
      <c r="H25" s="18" t="str">
        <f t="shared" si="1"/>
        <v>29-SEP</v>
      </c>
      <c r="I25" s="28">
        <v>46294</v>
      </c>
      <c r="J25" s="16" t="str">
        <f t="shared" si="2"/>
        <v>CA</v>
      </c>
      <c r="K25" s="2" t="str">
        <f t="shared" si="3"/>
        <v>Google Smartphone</v>
      </c>
      <c r="M25" s="8" t="s">
        <v>131</v>
      </c>
    </row>
    <row r="26" spans="1:13" x14ac:dyDescent="0.25">
      <c r="A26" s="3" t="s">
        <v>82</v>
      </c>
      <c r="B26" s="2" t="str">
        <f t="shared" si="0"/>
        <v>Sunglasses</v>
      </c>
      <c r="C26" s="3" t="s">
        <v>65</v>
      </c>
      <c r="D26" s="45" t="s">
        <v>83</v>
      </c>
      <c r="E26" s="22">
        <v>76.67</v>
      </c>
      <c r="F26" s="41">
        <v>25</v>
      </c>
      <c r="G26" s="3" t="s">
        <v>16</v>
      </c>
      <c r="H26" s="18" t="str">
        <f t="shared" si="1"/>
        <v>03-JUN</v>
      </c>
      <c r="I26" s="28">
        <v>46176</v>
      </c>
      <c r="J26" s="16" t="str">
        <f t="shared" si="2"/>
        <v>CA</v>
      </c>
      <c r="K26" s="2" t="str">
        <f t="shared" si="3"/>
        <v>Ray-Ban Sunglasses</v>
      </c>
      <c r="M26" s="6"/>
    </row>
    <row r="27" spans="1:13" x14ac:dyDescent="0.25">
      <c r="A27" s="2" t="s">
        <v>84</v>
      </c>
      <c r="B27" s="2" t="str">
        <f t="shared" si="0"/>
        <v>Blender</v>
      </c>
      <c r="C27" s="2" t="s">
        <v>35</v>
      </c>
      <c r="D27" s="44" t="s">
        <v>85</v>
      </c>
      <c r="E27" s="20">
        <v>400</v>
      </c>
      <c r="F27" s="40">
        <v>40</v>
      </c>
      <c r="G27" s="2" t="s">
        <v>21</v>
      </c>
      <c r="H27" s="18" t="str">
        <f t="shared" si="1"/>
        <v>11-JUL</v>
      </c>
      <c r="I27" s="28">
        <v>46214</v>
      </c>
      <c r="J27" s="16" t="str">
        <f t="shared" si="2"/>
        <v>CA</v>
      </c>
      <c r="K27" s="2" t="str">
        <f t="shared" si="3"/>
        <v>Vitamix Blender</v>
      </c>
      <c r="M27" s="39">
        <v>5</v>
      </c>
    </row>
    <row r="28" spans="1:13" x14ac:dyDescent="0.25">
      <c r="A28" s="2" t="s">
        <v>86</v>
      </c>
      <c r="B28" s="2" t="str">
        <f t="shared" si="0"/>
        <v>Dress</v>
      </c>
      <c r="C28" s="2" t="s">
        <v>87</v>
      </c>
      <c r="D28" s="44" t="s">
        <v>88</v>
      </c>
      <c r="E28" s="20">
        <v>60</v>
      </c>
      <c r="F28" s="40">
        <v>30</v>
      </c>
      <c r="G28" s="2" t="s">
        <v>16</v>
      </c>
      <c r="H28" s="18" t="str">
        <f t="shared" si="1"/>
        <v>07-MAR</v>
      </c>
      <c r="I28" s="28">
        <v>46088</v>
      </c>
      <c r="J28" s="16" t="str">
        <f t="shared" si="2"/>
        <v>CA</v>
      </c>
      <c r="K28" s="2" t="str">
        <f t="shared" si="3"/>
        <v>Zara Dress</v>
      </c>
      <c r="M28" s="38" t="s">
        <v>105</v>
      </c>
    </row>
    <row r="29" spans="1:13" x14ac:dyDescent="0.25">
      <c r="A29" s="3" t="s">
        <v>89</v>
      </c>
      <c r="B29" s="2" t="str">
        <f t="shared" si="0"/>
        <v>Toaster</v>
      </c>
      <c r="C29" s="3" t="s">
        <v>90</v>
      </c>
      <c r="D29" s="45" t="s">
        <v>91</v>
      </c>
      <c r="E29" s="21">
        <v>40</v>
      </c>
      <c r="F29" s="41">
        <v>10</v>
      </c>
      <c r="G29" s="3" t="s">
        <v>21</v>
      </c>
      <c r="H29" s="18" t="str">
        <f t="shared" si="1"/>
        <v>13-APR</v>
      </c>
      <c r="I29" s="28">
        <v>46125</v>
      </c>
      <c r="J29" s="16" t="str">
        <f t="shared" si="2"/>
        <v>CA</v>
      </c>
      <c r="K29" s="2" t="str">
        <f t="shared" si="3"/>
        <v>Hamilton Toaster</v>
      </c>
      <c r="M29" t="s">
        <v>133</v>
      </c>
    </row>
    <row r="30" spans="1:13" x14ac:dyDescent="0.25">
      <c r="A30" s="2" t="s">
        <v>92</v>
      </c>
      <c r="B30" s="2" t="str">
        <f t="shared" si="0"/>
        <v>Fitness Tracker</v>
      </c>
      <c r="C30" s="2" t="s">
        <v>77</v>
      </c>
      <c r="D30" s="44" t="s">
        <v>93</v>
      </c>
      <c r="E30" s="20">
        <v>130</v>
      </c>
      <c r="F30" s="40">
        <v>5</v>
      </c>
      <c r="G30" s="2" t="s">
        <v>12</v>
      </c>
      <c r="H30" s="18" t="str">
        <f t="shared" si="1"/>
        <v>24-MAY</v>
      </c>
      <c r="I30" s="28">
        <v>46166</v>
      </c>
      <c r="J30" s="16" t="str">
        <f t="shared" si="2"/>
        <v>CA</v>
      </c>
      <c r="K30" s="2" t="str">
        <f t="shared" si="3"/>
        <v>Garmin Fitness Tracker</v>
      </c>
    </row>
    <row r="31" spans="1:13" x14ac:dyDescent="0.25">
      <c r="A31" s="3" t="s">
        <v>94</v>
      </c>
      <c r="B31" s="2" t="str">
        <f t="shared" si="0"/>
        <v>Jeans</v>
      </c>
      <c r="C31" s="3" t="s">
        <v>95</v>
      </c>
      <c r="D31" s="45" t="s">
        <v>96</v>
      </c>
      <c r="E31" s="21">
        <v>50</v>
      </c>
      <c r="F31" s="41">
        <v>50</v>
      </c>
      <c r="G31" s="3" t="s">
        <v>16</v>
      </c>
      <c r="H31" s="18" t="str">
        <f t="shared" si="1"/>
        <v>02-DEC</v>
      </c>
      <c r="I31" s="28">
        <v>46358</v>
      </c>
      <c r="J31" s="16" t="str">
        <f t="shared" si="2"/>
        <v>CA</v>
      </c>
      <c r="K31" s="2" t="str">
        <f t="shared" si="3"/>
        <v>Levi's Jeans</v>
      </c>
    </row>
    <row r="32" spans="1:13" x14ac:dyDescent="0.25">
      <c r="A32" s="3" t="s">
        <v>97</v>
      </c>
      <c r="B32" s="2" t="str">
        <f t="shared" si="0"/>
        <v>Watch</v>
      </c>
      <c r="C32" s="3" t="s">
        <v>98</v>
      </c>
      <c r="D32" s="45" t="s">
        <v>99</v>
      </c>
      <c r="E32" s="21">
        <v>100</v>
      </c>
      <c r="F32" s="41">
        <v>20</v>
      </c>
      <c r="G32" s="3" t="s">
        <v>59</v>
      </c>
      <c r="H32" s="18" t="str">
        <f t="shared" si="1"/>
        <v>09-JUL</v>
      </c>
      <c r="I32" s="28">
        <v>46212</v>
      </c>
      <c r="J32" s="16" t="str">
        <f t="shared" si="2"/>
        <v>FR</v>
      </c>
      <c r="K32" s="2" t="str">
        <f t="shared" si="3"/>
        <v>Casio Watch</v>
      </c>
    </row>
    <row r="33" spans="2:11" x14ac:dyDescent="0.25">
      <c r="B33" s="2" t="str">
        <f t="shared" si="0"/>
        <v/>
      </c>
      <c r="J33" s="16" t="str">
        <f t="shared" si="2"/>
        <v/>
      </c>
      <c r="K33" s="2" t="str">
        <f t="shared" si="3"/>
        <v xml:space="preserve"> </v>
      </c>
    </row>
    <row r="34" spans="2:11" x14ac:dyDescent="0.25">
      <c r="B34" s="2" t="str">
        <f t="shared" si="0"/>
        <v/>
      </c>
      <c r="J34" s="16" t="str">
        <f t="shared" si="2"/>
        <v/>
      </c>
      <c r="K34" s="2" t="str">
        <f t="shared" si="3"/>
        <v xml:space="preserve"> </v>
      </c>
    </row>
    <row r="35" spans="2:11" x14ac:dyDescent="0.25">
      <c r="B35" s="2" t="str">
        <f t="shared" si="0"/>
        <v/>
      </c>
      <c r="J35" s="16" t="str">
        <f t="shared" si="2"/>
        <v/>
      </c>
      <c r="K35" s="2" t="str">
        <f t="shared" si="3"/>
        <v xml:space="preserve"> 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">
    <cfRule type="containsText" dxfId="1" priority="3" operator="containsText" text="Electronics">
      <formula>NOT(ISERROR(SEARCH("Electronics",G2)))</formula>
    </cfRule>
    <cfRule type="cellIs" dxfId="0" priority="7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F0926BD-42E2-4D0D-9D50-B31E636B4BE9}">
            <xm:f>NOT(ISERROR(SEARCH($G$18,G2)))</xm:f>
            <xm:f>$G$18</xm:f>
            <x14:dxf>
              <fill>
                <patternFill>
                  <bgColor rgb="FF00B0F0"/>
                </patternFill>
              </fill>
            </x14:dxf>
          </x14:cfRule>
          <xm:sqref>G2:G32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EF20-B11B-4933-ACC3-7D4EC296F3DA}">
  <dimension ref="A1:K26"/>
  <sheetViews>
    <sheetView topLeftCell="A10" workbookViewId="0">
      <selection activeCell="E14" sqref="E14"/>
    </sheetView>
  </sheetViews>
  <sheetFormatPr defaultRowHeight="15" x14ac:dyDescent="0.25"/>
  <cols>
    <col min="1" max="16384" width="9.140625" style="29"/>
  </cols>
  <sheetData>
    <row r="1" spans="1:11" x14ac:dyDescent="0.25">
      <c r="A1" s="30" t="s">
        <v>112</v>
      </c>
    </row>
    <row r="3" spans="1:11" ht="15.75" x14ac:dyDescent="0.25">
      <c r="B3" s="31" t="s">
        <v>113</v>
      </c>
    </row>
    <row r="4" spans="1:11" ht="15.75" x14ac:dyDescent="0.25">
      <c r="C4" s="32" t="s">
        <v>114</v>
      </c>
    </row>
    <row r="5" spans="1:11" ht="15.75" x14ac:dyDescent="0.25">
      <c r="B5" s="33"/>
      <c r="C5" s="32" t="s">
        <v>115</v>
      </c>
    </row>
    <row r="6" spans="1:11" x14ac:dyDescent="0.25">
      <c r="B6" s="33"/>
    </row>
    <row r="7" spans="1:11" ht="15.75" x14ac:dyDescent="0.25">
      <c r="B7" s="31" t="s">
        <v>116</v>
      </c>
    </row>
    <row r="8" spans="1:11" ht="15.75" x14ac:dyDescent="0.25">
      <c r="C8" s="32" t="s">
        <v>117</v>
      </c>
    </row>
    <row r="9" spans="1:11" ht="15.75" x14ac:dyDescent="0.25">
      <c r="C9" s="32" t="s">
        <v>118</v>
      </c>
    </row>
    <row r="10" spans="1:11" ht="15.75" x14ac:dyDescent="0.25">
      <c r="C10" s="32" t="s">
        <v>119</v>
      </c>
    </row>
    <row r="11" spans="1:11" x14ac:dyDescent="0.25">
      <c r="B11" s="33"/>
    </row>
    <row r="12" spans="1:11" ht="15.75" x14ac:dyDescent="0.25">
      <c r="B12" s="31" t="s">
        <v>120</v>
      </c>
    </row>
    <row r="13" spans="1:11" ht="15.75" x14ac:dyDescent="0.25">
      <c r="B13" s="31"/>
      <c r="C13" s="32" t="s">
        <v>121</v>
      </c>
    </row>
    <row r="14" spans="1:11" x14ac:dyDescent="0.25">
      <c r="E14" s="29" t="s">
        <v>132</v>
      </c>
    </row>
    <row r="15" spans="1:11" ht="15.75" x14ac:dyDescent="0.25">
      <c r="B15" s="31" t="s">
        <v>122</v>
      </c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5.75" x14ac:dyDescent="0.25">
      <c r="B16" s="34"/>
      <c r="C16" s="32" t="s">
        <v>123</v>
      </c>
      <c r="D16" s="34"/>
      <c r="E16" s="34"/>
      <c r="F16" s="34"/>
      <c r="G16" s="34"/>
      <c r="H16" s="34"/>
      <c r="I16" s="34"/>
      <c r="J16" s="34"/>
      <c r="K16" s="34"/>
    </row>
    <row r="17" spans="2:11" ht="15.75" x14ac:dyDescent="0.25">
      <c r="B17" s="34"/>
      <c r="C17" s="32" t="s">
        <v>124</v>
      </c>
      <c r="D17" s="34"/>
      <c r="E17" s="34"/>
      <c r="F17" s="34"/>
      <c r="G17" s="34"/>
      <c r="H17" s="34"/>
      <c r="I17" s="34"/>
      <c r="J17" s="34"/>
      <c r="K17" s="34"/>
    </row>
    <row r="18" spans="2:11" x14ac:dyDescent="0.25"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2:11" ht="15.75" x14ac:dyDescent="0.25">
      <c r="B19" s="31" t="s">
        <v>125</v>
      </c>
      <c r="C19" s="34"/>
      <c r="D19" s="34"/>
      <c r="E19" s="34"/>
      <c r="F19" s="34"/>
      <c r="G19" s="34"/>
      <c r="H19" s="34"/>
      <c r="I19" s="34"/>
      <c r="J19" s="34"/>
      <c r="K19" s="34"/>
    </row>
    <row r="20" spans="2:11" ht="15.75" x14ac:dyDescent="0.25">
      <c r="B20" s="34"/>
      <c r="C20" s="32" t="s">
        <v>126</v>
      </c>
      <c r="D20" s="34"/>
      <c r="E20" s="34"/>
      <c r="F20" s="34"/>
      <c r="G20" s="34"/>
      <c r="H20" s="34"/>
      <c r="I20" s="34"/>
      <c r="J20" s="34"/>
      <c r="K20" s="34"/>
    </row>
    <row r="21" spans="2:11" ht="15.75" x14ac:dyDescent="0.25">
      <c r="B21" s="34"/>
      <c r="C21" s="32" t="s">
        <v>127</v>
      </c>
      <c r="D21" s="34"/>
      <c r="E21" s="34"/>
      <c r="F21" s="34"/>
      <c r="G21" s="34"/>
      <c r="H21" s="34"/>
      <c r="I21" s="34"/>
      <c r="J21" s="34"/>
      <c r="K21" s="34"/>
    </row>
    <row r="22" spans="2:11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2:11" ht="15.75" x14ac:dyDescent="0.25">
      <c r="B23" s="31" t="s">
        <v>128</v>
      </c>
      <c r="C23" s="34"/>
      <c r="D23" s="34"/>
      <c r="E23" s="34"/>
      <c r="F23" s="34"/>
      <c r="G23" s="34"/>
      <c r="H23" s="34"/>
      <c r="I23" s="34"/>
      <c r="J23" s="34"/>
      <c r="K23" s="34"/>
    </row>
    <row r="24" spans="2:11" ht="15.75" x14ac:dyDescent="0.25">
      <c r="B24" s="34"/>
      <c r="C24" s="32" t="s">
        <v>129</v>
      </c>
      <c r="D24" s="34"/>
      <c r="E24" s="34"/>
      <c r="F24" s="34"/>
      <c r="G24" s="34"/>
      <c r="H24" s="34"/>
      <c r="I24" s="34"/>
      <c r="J24" s="34"/>
      <c r="K24" s="34"/>
    </row>
    <row r="25" spans="2:11" ht="15.75" x14ac:dyDescent="0.25">
      <c r="B25" s="34"/>
      <c r="C25" s="32" t="s">
        <v>130</v>
      </c>
      <c r="D25" s="34"/>
      <c r="E25" s="34"/>
      <c r="F25" s="34"/>
      <c r="G25" s="34"/>
      <c r="H25" s="34"/>
      <c r="I25" s="34"/>
      <c r="J25" s="34"/>
      <c r="K25" s="34"/>
    </row>
    <row r="26" spans="2:11" ht="15.75" x14ac:dyDescent="0.25">
      <c r="B26" s="34"/>
      <c r="C26" s="32"/>
      <c r="D26" s="34"/>
      <c r="E26" s="34"/>
      <c r="F26" s="34"/>
      <c r="G26" s="34"/>
      <c r="H26" s="34"/>
      <c r="I26" s="34"/>
      <c r="J26" s="34"/>
      <c r="K2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YADHUKRISHNA M</dc:creator>
  <cp:lastModifiedBy>YADHUKRISHNA M</cp:lastModifiedBy>
  <dcterms:created xsi:type="dcterms:W3CDTF">2026-09-01T14:18:26Z</dcterms:created>
  <dcterms:modified xsi:type="dcterms:W3CDTF">2026-09-02T07:40:25Z</dcterms:modified>
</cp:coreProperties>
</file>